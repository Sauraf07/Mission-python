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  <sheet name="HOW TO USE" sheetId="2" state="visible" r:id="rId4"/>
  </sheets>
  <definedNames>
    <definedName function="false" hidden="false" localSheetId="0" name="_xlnm.Print_Area" vbProcedure="false">Invoice!$A$1:$R$42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<sst xmlns="http://schemas.openxmlformats.org/spreadsheetml/2006/main" count="144" uniqueCount="114">
  <si>
    <t xml:space="preserve">TRANS CARGO (GUJARAT) PVT. LTD.</t>
  </si>
  <si>
    <t xml:space="preserve">Head Office: Survey No 953 PLOT No 182 Karwad-Degam Road, Near Indian Oil Pump &amp; Sai Computerised Weight Bridge, Vapi-396193</t>
  </si>
  <si>
    <t xml:space="preserve">Ph: 9377003352  |  E-mail: transcargo@rediffmail.com</t>
  </si>
  <si>
    <t xml:space="preserve">GST Paid By:  CONSIGNOR</t>
  </si>
  <si>
    <t xml:space="preserve">SAC Code: 996791</t>
  </si>
  <si>
    <t xml:space="preserve">PAN NO: AACCT5S12G</t>
  </si>
  <si>
    <t xml:space="preserve">Enrollment No: 24AACCT5812G1ZL</t>
  </si>
  <si>
    <t xml:space="preserve">Branch: CHENNAI</t>
  </si>
  <si>
    <t xml:space="preserve">To,</t>
  </si>
  <si>
    <t xml:space="preserve">M/S. REYNOLDS PENS INDIA PVT LTD-CHENNAI</t>
  </si>
  <si>
    <t xml:space="preserve">PLOT NO C21, SIPCOT INDL PARK, IRANGADUKOTAI PENNALUR POST, SRIPARAMBADUR</t>
  </si>
  <si>
    <t xml:space="preserve">Pancard No: aabcr4412r28</t>
  </si>
  <si>
    <t xml:space="preserve">Pancard No: aabcr4412r28   |   GST No: 33AABCR4412R1Z8   |   State Code: 33</t>
  </si>
  <si>
    <t xml:space="preserve">BILL NO</t>
  </si>
  <si>
    <t xml:space="preserve">CN12526 / 524</t>
  </si>
  <si>
    <t xml:space="preserve">DATE</t>
  </si>
  <si>
    <t xml:space="preserve">30/12/2025</t>
  </si>
  <si>
    <t xml:space="preserve">LR No.</t>
  </si>
  <si>
    <t xml:space="preserve">Date</t>
  </si>
  <si>
    <t xml:space="preserve">From</t>
  </si>
  <si>
    <t xml:space="preserve">To</t>
  </si>
  <si>
    <t xml:space="preserve">Party Invoice/
Challan No.</t>
  </si>
  <si>
    <t xml:space="preserve">Shipment
No.</t>
  </si>
  <si>
    <t xml:space="preserve">Truck No</t>
  </si>
  <si>
    <t xml:space="preserve">Total
Articles</t>
  </si>
  <si>
    <t xml:space="preserve">Weight
Charge</t>
  </si>
  <si>
    <t xml:space="preserve">Rate</t>
  </si>
  <si>
    <t xml:space="preserve">Freight</t>
  </si>
  <si>
    <t xml:space="preserve">Local/Hamali</t>
  </si>
  <si>
    <t xml:space="preserve">Charge</t>
  </si>
  <si>
    <t xml:space="preserve">DD</t>
  </si>
  <si>
    <t xml:space="preserve">LR
Charge</t>
  </si>
  <si>
    <t xml:space="preserve">Others</t>
  </si>
  <si>
    <t xml:space="preserve">Amount
Rs</t>
  </si>
  <si>
    <t xml:space="preserve">Col</t>
  </si>
  <si>
    <t xml:space="preserve">Hamali</t>
  </si>
  <si>
    <t xml:space="preserve">CN12526-1176</t>
  </si>
  <si>
    <t xml:space="preserve">03/12/2025</t>
  </si>
  <si>
    <t xml:space="preserve">CHENNAI</t>
  </si>
  <si>
    <t xml:space="preserve">SARIGAM</t>
  </si>
  <si>
    <t xml:space="preserve">18081</t>
  </si>
  <si>
    <t xml:space="preserve">CN12526-1177</t>
  </si>
  <si>
    <t xml:space="preserve">UMBERGAON</t>
  </si>
  <si>
    <t xml:space="preserve">18082</t>
  </si>
  <si>
    <t xml:space="preserve">CN12526-1189</t>
  </si>
  <si>
    <t xml:space="preserve">05/12/2025</t>
  </si>
  <si>
    <t xml:space="preserve">15003</t>
  </si>
  <si>
    <t xml:space="preserve">CN12526-1190</t>
  </si>
  <si>
    <t xml:space="preserve">18084</t>
  </si>
  <si>
    <t xml:space="preserve">CN12526-1212</t>
  </si>
  <si>
    <t xml:space="preserve">10/12/2025</t>
  </si>
  <si>
    <t xml:space="preserve">18086</t>
  </si>
  <si>
    <t xml:space="preserve">CN12526-1213</t>
  </si>
  <si>
    <t xml:space="preserve">18085</t>
  </si>
  <si>
    <t xml:space="preserve">CN12526-1232</t>
  </si>
  <si>
    <t xml:space="preserve">18/12/2025</t>
  </si>
  <si>
    <t xml:space="preserve">18087</t>
  </si>
  <si>
    <t xml:space="preserve">CN12526-1233</t>
  </si>
  <si>
    <t xml:space="preserve">18088</t>
  </si>
  <si>
    <t xml:space="preserve">CN12526-1234</t>
  </si>
  <si>
    <t xml:space="preserve">18089</t>
  </si>
  <si>
    <t xml:space="preserve">CN12526-1235</t>
  </si>
  <si>
    <t xml:space="preserve">16/12/2025</t>
  </si>
  <si>
    <t xml:space="preserve">18090</t>
  </si>
  <si>
    <t xml:space="preserve">CN12526-1247</t>
  </si>
  <si>
    <t xml:space="preserve">20/12/2025</t>
  </si>
  <si>
    <t xml:space="preserve">18091</t>
  </si>
  <si>
    <t xml:space="preserve">CN12526-1248</t>
  </si>
  <si>
    <t xml:space="preserve">18092</t>
  </si>
  <si>
    <t xml:space="preserve">TOTAL</t>
  </si>
  <si>
    <t xml:space="preserve">Other Charge Description:</t>
  </si>
  <si>
    <t xml:space="preserve">Sub Total (Freight)</t>
  </si>
  <si>
    <t xml:space="preserve">Other Charges Total</t>
  </si>
  <si>
    <t xml:space="preserve">GRAND TOTAL</t>
  </si>
  <si>
    <t xml:space="preserve">Rs. (In Words):  ← Enter amount in words here after final calculation</t>
  </si>
  <si>
    <t xml:space="preserve">Bank Detail</t>
  </si>
  <si>
    <t xml:space="preserve">FOR Trans Cargo (Gujarat) Pvt. Ltd.</t>
  </si>
  <si>
    <t xml:space="preserve">Bank Name: IDBI BANK</t>
  </si>
  <si>
    <t xml:space="preserve">A/C No: 0446200000001809</t>
  </si>
  <si>
    <t xml:space="preserve">IFSC Code: IBKL0000646</t>
  </si>
  <si>
    <t xml:space="preserve">AUTHORISED SIGNATORY</t>
  </si>
  <si>
    <t xml:space="preserve">Please pay by Account Payee Cheque or NEFT only.</t>
  </si>
  <si>
    <t xml:space="preserve">Page 1 of 1</t>
  </si>
  <si>
    <t xml:space="preserve">TRANS CARGO INVOICE - HOW TO USE</t>
  </si>
  <si>
    <t xml:space="preserve">YELLOW CELLS = You can edit/fill in details</t>
  </si>
  <si>
    <t xml:space="preserve">GREEN CELLS  = Auto-calculated (do not edit)</t>
  </si>
  <si>
    <t xml:space="preserve">BLUE HEADER  = Fixed company info</t>
  </si>
  <si>
    <t xml:space="preserve">STEPS TO FILL A NEW BILL:</t>
  </si>
  <si>
    <t xml:space="preserve">1. Change Bill No (cell H11) and Date (cell P11)</t>
  </si>
  <si>
    <t xml:space="preserve">2. Update Consignee name/address (cells A8, A9, A10)</t>
  </si>
  <si>
    <t xml:space="preserve">3. Fill LR details in rows 14-29:</t>
  </si>
  <si>
    <t xml:space="preserve">   Col A = LR Number</t>
  </si>
  <si>
    <t xml:space="preserve">   Col B = Date</t>
  </si>
  <si>
    <t xml:space="preserve">   Col C = From city</t>
  </si>
  <si>
    <t xml:space="preserve">   Col D = To city</t>
  </si>
  <si>
    <t xml:space="preserve">   Col E = Challan/Invoice No</t>
  </si>
  <si>
    <t xml:space="preserve">   Col F = Shipment No</t>
  </si>
  <si>
    <t xml:space="preserve">   Col G = Truck No</t>
  </si>
  <si>
    <t xml:space="preserve">   Col H = Total Articles</t>
  </si>
  <si>
    <t xml:space="preserve">   Col I = Weight Charge</t>
  </si>
  <si>
    <t xml:space="preserve">   Col J = Rate</t>
  </si>
  <si>
    <t xml:space="preserve">   Col K = Freight amount</t>
  </si>
  <si>
    <t xml:space="preserve">   Col L = Collection (Local Hamali)</t>
  </si>
  <si>
    <t xml:space="preserve">   Col M = Hamali</t>
  </si>
  <si>
    <t xml:space="preserve">   Col N = Charge</t>
  </si>
  <si>
    <t xml:space="preserve">   Col O = DD</t>
  </si>
  <si>
    <t xml:space="preserve">   Col P = LR Charge</t>
  </si>
  <si>
    <t xml:space="preserve">   Col Q = Others</t>
  </si>
  <si>
    <t xml:space="preserve">   Col R = AMOUNT (auto-calculated = sum of K to Q)</t>
  </si>
  <si>
    <t xml:space="preserve">4. Row 30 (TOTAL) calculates automatically</t>
  </si>
  <si>
    <t xml:space="preserve">5. Grand Total (cell O34) = Sub Total + Other Charges</t>
  </si>
  <si>
    <t xml:space="preserve">6. Fill amount in words in Row 35</t>
  </si>
  <si>
    <t xml:space="preserve">7. To PRINT: File &gt; Print (set to Landscape, A4)</t>
  </si>
  <si>
    <t xml:space="preserve">TIP: Add more rows if needed by inserting rows between 14-29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</si>
</sst>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80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9"/>
      <color rgb="FF7F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9E1F2"/>
        <bgColor rgb="FFDEEAF1"/>
      </patternFill>
    </fill>
    <fill>
      <patternFill patternType="solid">
        <fgColor rgb="FFFFFACD"/>
        <bgColor rgb="FFFFF2CC"/>
      </patternFill>
    </fill>
    <fill>
      <patternFill patternType="solid">
        <fgColor rgb="FFBDD7EE"/>
        <bgColor rgb="FFD9E1F2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FACD"/>
      </patternFill>
    </fill>
    <fill>
      <patternFill patternType="solid">
        <fgColor rgb="FFDEEAF1"/>
        <bgColor rgb="FFD9E1F2"/>
      </patternFill>
    </fill>
    <fill>
      <patternFill patternType="solid">
        <fgColor rgb="FFF9F9F9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ACD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F9F9F9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7" min="12" style="0" width="7"/>
    <col collapsed="false" customWidth="true" hidden="false" outlineLevel="0" max="18" min="18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0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0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0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4" t="s">
        <v>4</v>
      </c>
      <c r="K4" s="4"/>
      <c r="L4" s="4"/>
      <c r="M4" s="4"/>
      <c r="N4" s="4"/>
      <c r="O4" s="4"/>
      <c r="P4" s="4"/>
      <c r="Q4" s="4"/>
      <c r="R4" s="4"/>
    </row>
    <row r="5" customFormat="false" ht="10.5" hidden="false" customHeight="true" outlineLevel="0" collapsed="false">
      <c r="A5" s="5" t="s">
        <v>5</v>
      </c>
      <c r="B5" s="5"/>
      <c r="C5" s="5"/>
      <c r="D5" s="5"/>
      <c r="E5" s="5"/>
      <c r="F5" s="5"/>
      <c r="G5" s="5"/>
      <c r="H5" s="5"/>
      <c r="I5" s="5"/>
      <c r="J5" s="6"/>
      <c r="K5" s="6"/>
      <c r="L5" s="6"/>
      <c r="M5" s="6"/>
      <c r="N5" s="6"/>
      <c r="O5" s="6"/>
      <c r="P5" s="6"/>
      <c r="Q5" s="6"/>
      <c r="R5" s="6"/>
    </row>
    <row r="6" customFormat="false" ht="19.5" hidden="false" customHeight="true" outlineLevel="0" collapsed="false">
      <c r="A6" s="5" t="s">
        <v>6</v>
      </c>
      <c r="B6" s="5"/>
      <c r="C6" s="5"/>
      <c r="D6" s="5"/>
      <c r="E6" s="5"/>
      <c r="F6" s="5"/>
      <c r="G6" s="5"/>
      <c r="H6" s="5"/>
      <c r="I6" s="5"/>
      <c r="J6" s="6"/>
      <c r="K6" s="6"/>
      <c r="L6" s="6"/>
      <c r="M6" s="6"/>
      <c r="N6" s="6"/>
      <c r="O6" s="6"/>
      <c r="P6" s="6"/>
      <c r="Q6" s="6"/>
      <c r="R6" s="6"/>
    </row>
    <row r="7" customFormat="false" ht="10.5" hidden="false" customHeight="true" outlineLevel="0" collapsed="false">
      <c r="A7" s="3" t="s">
        <v>7</v>
      </c>
      <c r="B7" s="3"/>
      <c r="C7" s="3"/>
      <c r="D7" s="3"/>
      <c r="E7" s="3" t="s">
        <v>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0.5" hidden="false" customHeight="true" outlineLevel="0" collapsed="false">
      <c r="A8" s="7" t="s">
        <v>9</v>
      </c>
      <c r="B8" s="7"/>
      <c r="C8" s="7"/>
      <c r="D8" s="7"/>
      <c r="E8" s="8" t="s">
        <v>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customFormat="false" ht="10.5" hidden="false" customHeight="true" outlineLevel="0" collapsed="false">
      <c r="A9" s="9" t="s">
        <v>10</v>
      </c>
      <c r="B9" s="9"/>
      <c r="C9" s="9"/>
      <c r="D9" s="9"/>
      <c r="E9" s="10" t="s">
        <v>10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customFormat="false" ht="10.5" hidden="false" customHeight="true" outlineLevel="0" collapsed="false">
      <c r="A10" s="11" t="s">
        <v>11</v>
      </c>
      <c r="B10" s="11"/>
      <c r="C10" s="11"/>
      <c r="D10" s="11"/>
      <c r="E10" s="5" t="s">
        <v>12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customFormat="false" ht="10.5" hidden="false" customHeight="true" outlineLevel="0" collapsed="false">
      <c r="A11" s="12" t="s">
        <v>13</v>
      </c>
      <c r="B11" s="12"/>
      <c r="C11" s="12"/>
      <c r="D11" s="12"/>
      <c r="E11" s="12"/>
      <c r="F11" s="12"/>
      <c r="G11" s="12"/>
      <c r="H11" s="13" t="s">
        <v>14</v>
      </c>
      <c r="I11" s="13"/>
      <c r="J11" s="13"/>
      <c r="K11" s="13"/>
      <c r="L11" s="13"/>
      <c r="M11" s="13"/>
      <c r="N11" s="14" t="s">
        <v>15</v>
      </c>
      <c r="O11" s="14"/>
      <c r="P11" s="13" t="s">
        <v>16</v>
      </c>
      <c r="Q11" s="13"/>
      <c r="R11" s="13"/>
    </row>
    <row r="12" customFormat="false" ht="15.75" hidden="false" customHeight="true" outlineLevel="0" collapsed="false">
      <c r="A12" s="15" t="s">
        <v>17</v>
      </c>
      <c r="B12" s="15" t="s">
        <v>18</v>
      </c>
      <c r="C12" s="15" t="s">
        <v>19</v>
      </c>
      <c r="D12" s="15" t="s">
        <v>20</v>
      </c>
      <c r="E12" s="15" t="s">
        <v>21</v>
      </c>
      <c r="F12" s="15" t="s">
        <v>22</v>
      </c>
      <c r="G12" s="15" t="s">
        <v>23</v>
      </c>
      <c r="H12" s="15" t="s">
        <v>24</v>
      </c>
      <c r="I12" s="15" t="s">
        <v>25</v>
      </c>
      <c r="J12" s="15" t="s">
        <v>26</v>
      </c>
      <c r="K12" s="15" t="s">
        <v>27</v>
      </c>
      <c r="L12" s="16" t="s">
        <v>28</v>
      </c>
      <c r="M12" s="16"/>
      <c r="N12" s="15" t="s">
        <v>29</v>
      </c>
      <c r="O12" s="15" t="s">
        <v>30</v>
      </c>
      <c r="P12" s="15" t="s">
        <v>31</v>
      </c>
      <c r="Q12" s="15" t="s">
        <v>32</v>
      </c>
      <c r="R12" s="15" t="s">
        <v>33</v>
      </c>
    </row>
    <row r="13" customFormat="false" ht="13.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7" t="s">
        <v>34</v>
      </c>
      <c r="M13" s="17" t="s">
        <v>35</v>
      </c>
      <c r="N13" s="15"/>
      <c r="O13" s="15"/>
      <c r="P13" s="15"/>
      <c r="Q13" s="15"/>
      <c r="R13" s="15"/>
    </row>
    <row r="14" customFormat="false" ht="12.75" hidden="false" customHeight="true" outlineLevel="0" collapsed="false">
      <c r="A14" s="18" t="s">
        <v>36</v>
      </c>
      <c r="B14" s="18" t="s">
        <v>37</v>
      </c>
      <c r="C14" s="18" t="s">
        <v>38</v>
      </c>
      <c r="D14" s="18" t="s">
        <v>39</v>
      </c>
      <c r="E14" s="18" t="s">
        <v>40</v>
      </c>
      <c r="F14" s="18"/>
      <c r="G14" s="18"/>
      <c r="H14" s="19" t="n">
        <v>30</v>
      </c>
      <c r="I14" s="20" t="n">
        <v>6000</v>
      </c>
      <c r="J14" s="20" t="n">
        <v>0</v>
      </c>
      <c r="K14" s="20" t="n">
        <v>6000</v>
      </c>
      <c r="L14" s="20" t="n">
        <v>1000</v>
      </c>
      <c r="M14" s="20" t="n">
        <v>0</v>
      </c>
      <c r="N14" s="20" t="n">
        <v>2000</v>
      </c>
      <c r="O14" s="20" t="n">
        <v>100</v>
      </c>
      <c r="P14" s="20" t="n">
        <v>100</v>
      </c>
      <c r="Q14" s="20" t="n">
        <v>0</v>
      </c>
      <c r="R14" s="21" t="n">
        <f aca="false">K14+L14+M14+N14+O14+P14+Q14</f>
        <v>9200</v>
      </c>
    </row>
    <row r="15" customFormat="false" ht="12.75" hidden="false" customHeight="true" outlineLevel="0" collapsed="false">
      <c r="A15" s="22" t="s">
        <v>41</v>
      </c>
      <c r="B15" s="22" t="s">
        <v>37</v>
      </c>
      <c r="C15" s="22" t="s">
        <v>38</v>
      </c>
      <c r="D15" s="22" t="s">
        <v>42</v>
      </c>
      <c r="E15" s="22" t="s">
        <v>43</v>
      </c>
      <c r="F15" s="22"/>
      <c r="G15" s="22"/>
      <c r="H15" s="23" t="n">
        <v>28</v>
      </c>
      <c r="I15" s="24" t="n">
        <v>1000</v>
      </c>
      <c r="J15" s="24" t="n">
        <v>0</v>
      </c>
      <c r="K15" s="24" t="n">
        <v>6000</v>
      </c>
      <c r="L15" s="24" t="n">
        <v>1000</v>
      </c>
      <c r="M15" s="24" t="n">
        <v>0</v>
      </c>
      <c r="N15" s="24" t="n">
        <v>2000</v>
      </c>
      <c r="O15" s="24" t="n">
        <v>100</v>
      </c>
      <c r="P15" s="24" t="n">
        <v>100</v>
      </c>
      <c r="Q15" s="24" t="n">
        <v>0</v>
      </c>
      <c r="R15" s="21" t="n">
        <f aca="false">K15+L15+M15+N15+O15+P15+Q15</f>
        <v>9200</v>
      </c>
    </row>
    <row r="16" customFormat="false" ht="12.75" hidden="false" customHeight="true" outlineLevel="0" collapsed="false">
      <c r="A16" s="18" t="s">
        <v>44</v>
      </c>
      <c r="B16" s="18" t="s">
        <v>45</v>
      </c>
      <c r="C16" s="18" t="s">
        <v>38</v>
      </c>
      <c r="D16" s="18" t="s">
        <v>39</v>
      </c>
      <c r="E16" s="18" t="s">
        <v>46</v>
      </c>
      <c r="F16" s="18"/>
      <c r="G16" s="18"/>
      <c r="H16" s="19" t="n">
        <v>18</v>
      </c>
      <c r="I16" s="20" t="n">
        <v>700</v>
      </c>
      <c r="J16" s="20" t="n">
        <v>0</v>
      </c>
      <c r="K16" s="20" t="n">
        <v>4200</v>
      </c>
      <c r="L16" s="20" t="n">
        <v>1000</v>
      </c>
      <c r="M16" s="20" t="n">
        <v>0</v>
      </c>
      <c r="N16" s="20" t="n">
        <v>2000</v>
      </c>
      <c r="O16" s="20" t="n">
        <v>100</v>
      </c>
      <c r="P16" s="20" t="n">
        <v>100</v>
      </c>
      <c r="Q16" s="20" t="n">
        <v>0</v>
      </c>
      <c r="R16" s="21" t="n">
        <f aca="false">K16+L16+M16+N16+O16+P16+Q16</f>
        <v>7400</v>
      </c>
    </row>
    <row r="17" customFormat="false" ht="12.75" hidden="false" customHeight="true" outlineLevel="0" collapsed="false">
      <c r="A17" s="22" t="s">
        <v>47</v>
      </c>
      <c r="B17" s="22" t="s">
        <v>45</v>
      </c>
      <c r="C17" s="22" t="s">
        <v>38</v>
      </c>
      <c r="D17" s="22" t="s">
        <v>42</v>
      </c>
      <c r="E17" s="22" t="s">
        <v>48</v>
      </c>
      <c r="F17" s="22"/>
      <c r="G17" s="22"/>
      <c r="H17" s="23" t="n">
        <v>44</v>
      </c>
      <c r="I17" s="24" t="n">
        <v>1700</v>
      </c>
      <c r="J17" s="24" t="n">
        <v>0</v>
      </c>
      <c r="K17" s="24" t="n">
        <v>10200</v>
      </c>
      <c r="L17" s="24" t="n">
        <v>1000</v>
      </c>
      <c r="M17" s="24" t="n">
        <v>0</v>
      </c>
      <c r="N17" s="24" t="n">
        <v>2000</v>
      </c>
      <c r="O17" s="24" t="n">
        <v>100</v>
      </c>
      <c r="P17" s="24" t="n">
        <v>100</v>
      </c>
      <c r="Q17" s="24" t="n">
        <v>0</v>
      </c>
      <c r="R17" s="21" t="n">
        <f aca="false">K17+L17+M17+N17+O17+P17+Q17</f>
        <v>13400</v>
      </c>
    </row>
    <row r="18" customFormat="false" ht="12.75" hidden="false" customHeight="true" outlineLevel="0" collapsed="false">
      <c r="A18" s="18" t="s">
        <v>49</v>
      </c>
      <c r="B18" s="18" t="s">
        <v>50</v>
      </c>
      <c r="C18" s="18" t="s">
        <v>38</v>
      </c>
      <c r="D18" s="18" t="s">
        <v>39</v>
      </c>
      <c r="E18" s="18" t="s">
        <v>51</v>
      </c>
      <c r="F18" s="18"/>
      <c r="G18" s="18"/>
      <c r="H18" s="19" t="n">
        <v>54</v>
      </c>
      <c r="I18" s="20" t="n">
        <v>2000</v>
      </c>
      <c r="J18" s="20" t="n">
        <v>0</v>
      </c>
      <c r="K18" s="20" t="n">
        <v>12000</v>
      </c>
      <c r="L18" s="20" t="n">
        <v>1000</v>
      </c>
      <c r="M18" s="20" t="n">
        <v>0</v>
      </c>
      <c r="N18" s="20" t="n">
        <v>2000</v>
      </c>
      <c r="O18" s="20" t="n">
        <v>100</v>
      </c>
      <c r="P18" s="20" t="n">
        <v>100</v>
      </c>
      <c r="Q18" s="20" t="n">
        <v>0</v>
      </c>
      <c r="R18" s="21" t="n">
        <f aca="false">K18+L18+M18+N18+O18+P18+Q18</f>
        <v>15200</v>
      </c>
    </row>
    <row r="19" customFormat="false" ht="12.75" hidden="false" customHeight="true" outlineLevel="0" collapsed="false">
      <c r="A19" s="22" t="s">
        <v>52</v>
      </c>
      <c r="B19" s="22" t="s">
        <v>50</v>
      </c>
      <c r="C19" s="22" t="s">
        <v>38</v>
      </c>
      <c r="D19" s="22" t="s">
        <v>42</v>
      </c>
      <c r="E19" s="22" t="s">
        <v>53</v>
      </c>
      <c r="F19" s="22"/>
      <c r="G19" s="22"/>
      <c r="H19" s="23" t="n">
        <v>36</v>
      </c>
      <c r="I19" s="24" t="n">
        <v>1400</v>
      </c>
      <c r="J19" s="24" t="n">
        <v>0</v>
      </c>
      <c r="K19" s="24" t="n">
        <v>8400</v>
      </c>
      <c r="L19" s="24" t="n">
        <v>1000</v>
      </c>
      <c r="M19" s="24" t="n">
        <v>0</v>
      </c>
      <c r="N19" s="24" t="n">
        <v>2000</v>
      </c>
      <c r="O19" s="24" t="n">
        <v>100</v>
      </c>
      <c r="P19" s="24" t="n">
        <v>100</v>
      </c>
      <c r="Q19" s="24" t="n">
        <v>0</v>
      </c>
      <c r="R19" s="21" t="n">
        <f aca="false">K19+L19+M19+N19+O19+P19+Q19</f>
        <v>11600</v>
      </c>
    </row>
    <row r="20" customFormat="false" ht="12.75" hidden="false" customHeight="true" outlineLevel="0" collapsed="false">
      <c r="A20" s="18" t="s">
        <v>54</v>
      </c>
      <c r="B20" s="18" t="s">
        <v>55</v>
      </c>
      <c r="C20" s="18" t="s">
        <v>38</v>
      </c>
      <c r="D20" s="18" t="s">
        <v>39</v>
      </c>
      <c r="E20" s="18" t="s">
        <v>56</v>
      </c>
      <c r="F20" s="18"/>
      <c r="G20" s="18"/>
      <c r="H20" s="19" t="n">
        <v>1</v>
      </c>
      <c r="I20" s="20" t="n">
        <v>100</v>
      </c>
      <c r="J20" s="20" t="n">
        <v>0</v>
      </c>
      <c r="K20" s="20" t="n">
        <v>600</v>
      </c>
      <c r="L20" s="20" t="n">
        <v>1000</v>
      </c>
      <c r="M20" s="20" t="n">
        <v>0</v>
      </c>
      <c r="N20" s="20" t="n">
        <v>2000</v>
      </c>
      <c r="O20" s="20" t="n">
        <v>100</v>
      </c>
      <c r="P20" s="20" t="n">
        <v>100</v>
      </c>
      <c r="Q20" s="20" t="n">
        <v>0</v>
      </c>
      <c r="R20" s="21" t="n">
        <f aca="false">K20+L20+M20+N20+O20+P20+Q20</f>
        <v>3800</v>
      </c>
    </row>
    <row r="21" customFormat="false" ht="12.75" hidden="false" customHeight="true" outlineLevel="0" collapsed="false">
      <c r="A21" s="22" t="s">
        <v>57</v>
      </c>
      <c r="B21" s="22" t="s">
        <v>55</v>
      </c>
      <c r="C21" s="22" t="s">
        <v>38</v>
      </c>
      <c r="D21" s="22" t="s">
        <v>39</v>
      </c>
      <c r="E21" s="22" t="s">
        <v>58</v>
      </c>
      <c r="F21" s="22"/>
      <c r="G21" s="22"/>
      <c r="H21" s="23" t="n">
        <v>10</v>
      </c>
      <c r="I21" s="24" t="n">
        <v>400</v>
      </c>
      <c r="J21" s="24" t="n">
        <v>0</v>
      </c>
      <c r="K21" s="24" t="n">
        <v>2400</v>
      </c>
      <c r="L21" s="24" t="n">
        <v>1000</v>
      </c>
      <c r="M21" s="24" t="n">
        <v>0</v>
      </c>
      <c r="N21" s="24" t="n">
        <v>2000</v>
      </c>
      <c r="O21" s="24" t="n">
        <v>100</v>
      </c>
      <c r="P21" s="24" t="n">
        <v>100</v>
      </c>
      <c r="Q21" s="24" t="n">
        <v>0</v>
      </c>
      <c r="R21" s="21" t="n">
        <f aca="false">K21+L21+M21+N21+O21+P21+Q21</f>
        <v>5600</v>
      </c>
    </row>
    <row r="22" customFormat="false" ht="12.75" hidden="false" customHeight="true" outlineLevel="0" collapsed="false">
      <c r="A22" s="18" t="s">
        <v>59</v>
      </c>
      <c r="B22" s="18" t="s">
        <v>55</v>
      </c>
      <c r="C22" s="18" t="s">
        <v>38</v>
      </c>
      <c r="D22" s="18" t="s">
        <v>39</v>
      </c>
      <c r="E22" s="18" t="s">
        <v>60</v>
      </c>
      <c r="F22" s="18"/>
      <c r="G22" s="18"/>
      <c r="H22" s="19" t="n">
        <v>16</v>
      </c>
      <c r="I22" s="20" t="n">
        <v>600</v>
      </c>
      <c r="J22" s="20" t="n">
        <v>0</v>
      </c>
      <c r="K22" s="20" t="n">
        <v>3600</v>
      </c>
      <c r="L22" s="20" t="n">
        <v>1000</v>
      </c>
      <c r="M22" s="20" t="n">
        <v>0</v>
      </c>
      <c r="N22" s="20" t="n">
        <v>2000</v>
      </c>
      <c r="O22" s="20" t="n">
        <v>100</v>
      </c>
      <c r="P22" s="20" t="n">
        <v>100</v>
      </c>
      <c r="Q22" s="20" t="n">
        <v>0</v>
      </c>
      <c r="R22" s="21" t="n">
        <f aca="false">K22+L22+M22+N22+O22+P22+Q22</f>
        <v>6800</v>
      </c>
    </row>
    <row r="23" customFormat="false" ht="12.75" hidden="false" customHeight="true" outlineLevel="0" collapsed="false">
      <c r="A23" s="22" t="s">
        <v>61</v>
      </c>
      <c r="B23" s="22" t="s">
        <v>62</v>
      </c>
      <c r="C23" s="22" t="s">
        <v>38</v>
      </c>
      <c r="D23" s="22" t="s">
        <v>42</v>
      </c>
      <c r="E23" s="22" t="s">
        <v>63</v>
      </c>
      <c r="F23" s="22"/>
      <c r="G23" s="22"/>
      <c r="H23" s="23" t="n">
        <v>12</v>
      </c>
      <c r="I23" s="24" t="n">
        <v>450</v>
      </c>
      <c r="J23" s="24" t="n">
        <v>0</v>
      </c>
      <c r="K23" s="24" t="n">
        <v>2700</v>
      </c>
      <c r="L23" s="24" t="n">
        <v>1000</v>
      </c>
      <c r="M23" s="24" t="n">
        <v>0</v>
      </c>
      <c r="N23" s="24" t="n">
        <v>2000</v>
      </c>
      <c r="O23" s="24" t="n">
        <v>100</v>
      </c>
      <c r="P23" s="24" t="n">
        <v>100</v>
      </c>
      <c r="Q23" s="24" t="n">
        <v>0</v>
      </c>
      <c r="R23" s="21" t="n">
        <f aca="false">K23+L23+M23+N23+O23+P23+Q23</f>
        <v>5900</v>
      </c>
    </row>
    <row r="24" customFormat="false" ht="12.75" hidden="false" customHeight="true" outlineLevel="0" collapsed="false">
      <c r="A24" s="18" t="s">
        <v>64</v>
      </c>
      <c r="B24" s="18" t="s">
        <v>65</v>
      </c>
      <c r="C24" s="18" t="s">
        <v>38</v>
      </c>
      <c r="D24" s="18" t="s">
        <v>39</v>
      </c>
      <c r="E24" s="18" t="s">
        <v>66</v>
      </c>
      <c r="F24" s="18"/>
      <c r="G24" s="18"/>
      <c r="H24" s="19" t="n">
        <v>12</v>
      </c>
      <c r="I24" s="20" t="n">
        <v>450</v>
      </c>
      <c r="J24" s="20" t="n">
        <v>0</v>
      </c>
      <c r="K24" s="20" t="n">
        <v>2700</v>
      </c>
      <c r="L24" s="20" t="n">
        <v>1000</v>
      </c>
      <c r="M24" s="20" t="n">
        <v>0</v>
      </c>
      <c r="N24" s="20" t="n">
        <v>2000</v>
      </c>
      <c r="O24" s="20" t="n">
        <v>100</v>
      </c>
      <c r="P24" s="20" t="n">
        <v>100</v>
      </c>
      <c r="Q24" s="20" t="n">
        <v>0</v>
      </c>
      <c r="R24" s="21" t="n">
        <f aca="false">K24+L24+M24+N24+O24+P24+Q24</f>
        <v>5900</v>
      </c>
    </row>
    <row r="25" customFormat="false" ht="12.75" hidden="false" customHeight="true" outlineLevel="0" collapsed="false">
      <c r="A25" s="22" t="s">
        <v>67</v>
      </c>
      <c r="B25" s="22" t="s">
        <v>65</v>
      </c>
      <c r="C25" s="22" t="s">
        <v>38</v>
      </c>
      <c r="D25" s="22" t="s">
        <v>39</v>
      </c>
      <c r="E25" s="22" t="s">
        <v>68</v>
      </c>
      <c r="F25" s="22"/>
      <c r="G25" s="22"/>
      <c r="H25" s="23" t="n">
        <v>11</v>
      </c>
      <c r="I25" s="24" t="n">
        <v>450</v>
      </c>
      <c r="J25" s="24" t="n">
        <v>0</v>
      </c>
      <c r="K25" s="24" t="n">
        <v>2700</v>
      </c>
      <c r="L25" s="24" t="n">
        <v>1000</v>
      </c>
      <c r="M25" s="24" t="n">
        <v>0</v>
      </c>
      <c r="N25" s="24" t="n">
        <v>2000</v>
      </c>
      <c r="O25" s="24" t="n">
        <v>100</v>
      </c>
      <c r="P25" s="24" t="n">
        <v>100</v>
      </c>
      <c r="Q25" s="24" t="n">
        <v>0</v>
      </c>
      <c r="R25" s="21" t="n">
        <f aca="false">K25+L25+M25+N25+O25+P25+Q25</f>
        <v>5900</v>
      </c>
    </row>
    <row r="26" customFormat="false" ht="12.75" hidden="false" customHeight="true" outlineLevel="0" collapsed="false">
      <c r="A26" s="25"/>
      <c r="B26" s="25"/>
      <c r="C26" s="25"/>
      <c r="D26" s="25"/>
      <c r="E26" s="25"/>
      <c r="F26" s="25"/>
      <c r="G26" s="25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 t="str">
        <f aca="false">IF(K26+L26+M26+N26+O26+P26+Q26=0,"",K26+L26+M26+N26+O26+P26+Q26)</f>
        <v/>
      </c>
    </row>
    <row r="27" customFormat="false" ht="12.75" hidden="false" customHeight="true" outlineLevel="0" collapsed="false">
      <c r="A27" s="25"/>
      <c r="B27" s="25"/>
      <c r="C27" s="25"/>
      <c r="D27" s="25"/>
      <c r="E27" s="25"/>
      <c r="F27" s="25"/>
      <c r="G27" s="25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 t="str">
        <f aca="false">IF(K27+L27+M27+N27+O27+P27+Q27=0,"",K27+L27+M27+N27+O27+P27+Q27)</f>
        <v/>
      </c>
    </row>
    <row r="28" customFormat="false" ht="12.75" hidden="false" customHeight="true" outlineLevel="0" collapsed="false">
      <c r="A28" s="25"/>
      <c r="B28" s="25"/>
      <c r="C28" s="25"/>
      <c r="D28" s="25"/>
      <c r="E28" s="25"/>
      <c r="F28" s="25"/>
      <c r="G28" s="25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7" t="str">
        <f aca="false">IF(K28+L28+M28+N28+O28+P28+Q28=0,"",K28+L28+M28+N28+O28+P28+Q28)</f>
        <v/>
      </c>
    </row>
    <row r="29" customFormat="false" ht="12.75" hidden="false" customHeight="true" outlineLevel="0" collapsed="false">
      <c r="A29" s="25"/>
      <c r="B29" s="25"/>
      <c r="C29" s="25"/>
      <c r="D29" s="25"/>
      <c r="E29" s="25"/>
      <c r="F29" s="25"/>
      <c r="G29" s="25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7" t="str">
        <f aca="false">IF(K29+L29+M29+N29+O29+P29+Q29=0,"",K29+L29+M29+N29+O29+P29+Q29)</f>
        <v/>
      </c>
    </row>
    <row r="30" customFormat="false" ht="15" hidden="false" customHeight="true" outlineLevel="0" collapsed="false">
      <c r="A30" s="28" t="s">
        <v>69</v>
      </c>
      <c r="B30" s="28"/>
      <c r="C30" s="28"/>
      <c r="D30" s="28"/>
      <c r="E30" s="28"/>
      <c r="F30" s="28"/>
      <c r="G30" s="28"/>
      <c r="H30" s="29" t="n">
        <f aca="false">SUM(H14:H29)</f>
        <v>272</v>
      </c>
      <c r="I30" s="30" t="n">
        <f aca="false">SUM(I14:I29)</f>
        <v>15250</v>
      </c>
      <c r="J30" s="30"/>
      <c r="K30" s="30" t="n">
        <f aca="false">SUM(K14:K29)</f>
        <v>61500</v>
      </c>
      <c r="L30" s="30" t="n">
        <f aca="false">SUM(L14:L29)</f>
        <v>12000</v>
      </c>
      <c r="M30" s="30" t="n">
        <f aca="false">SUM(M14:M29)</f>
        <v>0</v>
      </c>
      <c r="N30" s="30" t="n">
        <f aca="false">SUM(N14:N29)</f>
        <v>24000</v>
      </c>
      <c r="O30" s="30" t="n">
        <f aca="false">SUM(O14:O29)</f>
        <v>1200</v>
      </c>
      <c r="P30" s="30" t="n">
        <f aca="false">SUM(P14:P29)</f>
        <v>1200</v>
      </c>
      <c r="Q30" s="30" t="n">
        <f aca="false">SUM(Q14:Q29)</f>
        <v>0</v>
      </c>
      <c r="R30" s="30" t="n">
        <f aca="false">SUM(R14:R29)</f>
        <v>99900</v>
      </c>
    </row>
    <row r="31" customFormat="false" ht="12.75" hidden="false" customHeight="true" outlineLevel="0" collapsed="false">
      <c r="A31" s="31" t="s">
        <v>70</v>
      </c>
      <c r="B31" s="31"/>
      <c r="C31" s="31"/>
      <c r="D31" s="31"/>
      <c r="E31" s="31"/>
      <c r="F31" s="31"/>
      <c r="G31" s="31"/>
      <c r="H31" s="31"/>
      <c r="I31" s="31"/>
      <c r="J31" s="32" t="s">
        <v>69</v>
      </c>
      <c r="K31" s="32"/>
      <c r="L31" s="32"/>
      <c r="M31" s="32"/>
      <c r="N31" s="32"/>
      <c r="O31" s="32"/>
      <c r="P31" s="32"/>
      <c r="Q31" s="32"/>
      <c r="R31" s="32"/>
    </row>
    <row r="32" customFormat="false" ht="12.75" hidden="false" customHeight="true" outlineLevel="0" collapsed="false">
      <c r="A32" s="11"/>
      <c r="B32" s="11"/>
      <c r="C32" s="11"/>
      <c r="D32" s="11"/>
      <c r="E32" s="11"/>
      <c r="F32" s="33" t="n">
        <v>0</v>
      </c>
      <c r="G32" s="33"/>
      <c r="H32" s="33"/>
      <c r="I32" s="33"/>
      <c r="J32" s="34" t="s">
        <v>71</v>
      </c>
      <c r="K32" s="34"/>
      <c r="L32" s="34"/>
      <c r="M32" s="34"/>
      <c r="N32" s="34"/>
      <c r="O32" s="35" t="n">
        <f aca="false">R30</f>
        <v>99900</v>
      </c>
      <c r="P32" s="35"/>
      <c r="Q32" s="35"/>
      <c r="R32" s="35"/>
    </row>
    <row r="33" customFormat="false" ht="12.75" hidden="false" customHeight="true" outlineLevel="0" collapsed="false">
      <c r="A33" s="11"/>
      <c r="B33" s="11"/>
      <c r="C33" s="11"/>
      <c r="D33" s="11"/>
      <c r="E33" s="11"/>
      <c r="F33" s="33" t="n">
        <v>0</v>
      </c>
      <c r="G33" s="33"/>
      <c r="H33" s="33"/>
      <c r="I33" s="33"/>
      <c r="J33" s="34" t="s">
        <v>72</v>
      </c>
      <c r="K33" s="34"/>
      <c r="L33" s="34"/>
      <c r="M33" s="34"/>
      <c r="N33" s="34"/>
      <c r="O33" s="35" t="n">
        <f aca="false">SUM(F32:F35)</f>
        <v>0</v>
      </c>
      <c r="P33" s="35"/>
      <c r="Q33" s="35"/>
      <c r="R33" s="35"/>
    </row>
    <row r="34" customFormat="false" ht="12.75" hidden="false" customHeight="true" outlineLevel="0" collapsed="false">
      <c r="A34" s="11"/>
      <c r="B34" s="11"/>
      <c r="C34" s="11"/>
      <c r="D34" s="11"/>
      <c r="E34" s="11"/>
      <c r="F34" s="33" t="n">
        <v>0</v>
      </c>
      <c r="G34" s="33"/>
      <c r="H34" s="33"/>
      <c r="I34" s="33"/>
      <c r="J34" s="36" t="s">
        <v>73</v>
      </c>
      <c r="K34" s="36"/>
      <c r="L34" s="36"/>
      <c r="M34" s="36"/>
      <c r="N34" s="36"/>
      <c r="O34" s="37" t="n">
        <f aca="false">O32+O33</f>
        <v>99900</v>
      </c>
      <c r="P34" s="37"/>
      <c r="Q34" s="37"/>
      <c r="R34" s="37"/>
    </row>
    <row r="35" customFormat="false" ht="12.75" hidden="false" customHeight="true" outlineLevel="0" collapsed="false">
      <c r="A35" s="38" t="s">
        <v>74</v>
      </c>
      <c r="B35" s="38"/>
      <c r="C35" s="38"/>
      <c r="D35" s="38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40"/>
    </row>
    <row r="36" customFormat="false" ht="15.75" hidden="false" customHeight="true" outlineLevel="0" collapsed="false">
      <c r="A36" s="41" t="s">
        <v>75</v>
      </c>
      <c r="B36" s="41"/>
      <c r="C36" s="41"/>
      <c r="D36" s="41"/>
      <c r="E36" s="41"/>
      <c r="F36" s="41"/>
      <c r="G36" s="41"/>
      <c r="H36" s="41"/>
      <c r="I36" s="41"/>
      <c r="J36" s="42" t="s">
        <v>76</v>
      </c>
      <c r="K36" s="42"/>
      <c r="L36" s="42"/>
      <c r="M36" s="42"/>
      <c r="N36" s="42"/>
      <c r="O36" s="42"/>
      <c r="P36" s="42"/>
      <c r="Q36" s="42"/>
      <c r="R36" s="42"/>
    </row>
    <row r="37" customFormat="false" ht="12.75" hidden="false" customHeight="true" outlineLevel="0" collapsed="false">
      <c r="A37" s="43" t="s">
        <v>77</v>
      </c>
      <c r="B37" s="43"/>
      <c r="C37" s="43"/>
      <c r="D37" s="43"/>
      <c r="E37" s="43"/>
      <c r="F37" s="43"/>
      <c r="G37" s="43"/>
      <c r="H37" s="43"/>
      <c r="I37" s="43"/>
      <c r="J37" s="44"/>
      <c r="K37" s="44"/>
      <c r="L37" s="44"/>
      <c r="M37" s="44"/>
      <c r="N37" s="44"/>
      <c r="O37" s="44"/>
      <c r="P37" s="44"/>
      <c r="Q37" s="44"/>
      <c r="R37" s="44"/>
    </row>
    <row r="38" customFormat="false" ht="12.75" hidden="false" customHeight="true" outlineLevel="0" collapsed="false">
      <c r="A38" s="43" t="s">
        <v>78</v>
      </c>
      <c r="B38" s="43"/>
      <c r="C38" s="43"/>
      <c r="D38" s="43"/>
      <c r="E38" s="43"/>
      <c r="F38" s="43"/>
      <c r="G38" s="43"/>
      <c r="H38" s="43"/>
      <c r="I38" s="43"/>
      <c r="J38" s="44"/>
      <c r="K38" s="44"/>
      <c r="L38" s="44"/>
      <c r="M38" s="44"/>
      <c r="N38" s="44"/>
      <c r="O38" s="44"/>
      <c r="P38" s="44"/>
      <c r="Q38" s="44"/>
      <c r="R38" s="44"/>
    </row>
    <row r="39" customFormat="false" ht="12.75" hidden="false" customHeight="true" outlineLevel="0" collapsed="false">
      <c r="A39" s="43" t="s">
        <v>79</v>
      </c>
      <c r="B39" s="43"/>
      <c r="C39" s="43"/>
      <c r="D39" s="43"/>
      <c r="E39" s="43"/>
      <c r="F39" s="43"/>
      <c r="G39" s="43"/>
      <c r="H39" s="43"/>
      <c r="I39" s="43"/>
      <c r="J39" s="44"/>
      <c r="K39" s="44"/>
      <c r="L39" s="44"/>
      <c r="M39" s="44"/>
      <c r="N39" s="44"/>
      <c r="O39" s="44"/>
      <c r="P39" s="44"/>
      <c r="Q39" s="44"/>
      <c r="R39" s="44"/>
    </row>
    <row r="40" customFormat="false" ht="12.75" hidden="false" customHeight="true" outlineLevel="0" collapsed="false">
      <c r="J40" s="45" t="s">
        <v>80</v>
      </c>
      <c r="K40" s="45"/>
      <c r="L40" s="45"/>
      <c r="M40" s="45"/>
      <c r="N40" s="45"/>
      <c r="O40" s="45"/>
      <c r="P40" s="45"/>
      <c r="Q40" s="45"/>
      <c r="R40" s="45"/>
    </row>
    <row r="41" customFormat="false" ht="12.75" hidden="false" customHeight="true" outlineLevel="0" collapsed="false">
      <c r="A41" s="46" t="s">
        <v>81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customFormat="false" ht="10.5" hidden="false" customHeight="true" outlineLevel="0" collapsed="false">
      <c r="A42" s="47" t="s">
        <v>82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</row>
  </sheetData>
  <mergeCells count="64">
    <mergeCell ref="A1:R1"/>
    <mergeCell ref="A2:R2"/>
    <mergeCell ref="A3:R3"/>
    <mergeCell ref="A4:I4"/>
    <mergeCell ref="J4:R4"/>
    <mergeCell ref="A5:I5"/>
    <mergeCell ref="J5:R5"/>
    <mergeCell ref="A6:I6"/>
    <mergeCell ref="J6:R6"/>
    <mergeCell ref="A7:D7"/>
    <mergeCell ref="E7:R7"/>
    <mergeCell ref="A8:D8"/>
    <mergeCell ref="E8:R8"/>
    <mergeCell ref="A9:D9"/>
    <mergeCell ref="E9:R9"/>
    <mergeCell ref="A10:D10"/>
    <mergeCell ref="E10:R10"/>
    <mergeCell ref="A11:G11"/>
    <mergeCell ref="H11:M11"/>
    <mergeCell ref="N11:O11"/>
    <mergeCell ref="P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M12"/>
    <mergeCell ref="N12:N13"/>
    <mergeCell ref="O12:O13"/>
    <mergeCell ref="P12:P13"/>
    <mergeCell ref="Q12:Q13"/>
    <mergeCell ref="R12:R13"/>
    <mergeCell ref="A30:G30"/>
    <mergeCell ref="A31:I31"/>
    <mergeCell ref="J31:R31"/>
    <mergeCell ref="A32:E32"/>
    <mergeCell ref="F32:I32"/>
    <mergeCell ref="J32:N32"/>
    <mergeCell ref="O32:R32"/>
    <mergeCell ref="A33:E33"/>
    <mergeCell ref="F33:I33"/>
    <mergeCell ref="J33:N33"/>
    <mergeCell ref="O33:R33"/>
    <mergeCell ref="A34:E34"/>
    <mergeCell ref="F34:I34"/>
    <mergeCell ref="J34:N34"/>
    <mergeCell ref="O34:R34"/>
    <mergeCell ref="A35:E35"/>
    <mergeCell ref="F35:I35"/>
    <mergeCell ref="A36:I36"/>
    <mergeCell ref="J36:R36"/>
    <mergeCell ref="A37:I37"/>
    <mergeCell ref="J37:R39"/>
    <mergeCell ref="A38:I38"/>
    <mergeCell ref="A39:I39"/>
    <mergeCell ref="J40:R40"/>
    <mergeCell ref="A41:R41"/>
    <mergeCell ref="A42:R4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35" hidden="false" customHeight="false" outlineLevel="0" collapsed="false">
      <c r="A1" s="48" t="s">
        <v>83</v>
      </c>
    </row>
    <row r="3" customFormat="false" ht="15" hidden="false" customHeight="false" outlineLevel="0" collapsed="false">
      <c r="A3" s="0" t="s">
        <v>84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86</v>
      </c>
    </row>
    <row r="7" customFormat="false" ht="15" hidden="false" customHeight="false" outlineLevel="0" collapsed="false">
      <c r="A7" s="0" t="s">
        <v>87</v>
      </c>
    </row>
    <row r="8" customFormat="false" ht="15" hidden="false" customHeight="false" outlineLevel="0" collapsed="false">
      <c r="A8" s="0" t="s">
        <v>88</v>
      </c>
    </row>
    <row r="9" customFormat="false" ht="15" hidden="false" customHeight="false" outlineLevel="0" collapsed="false">
      <c r="A9" s="0" t="s">
        <v>89</v>
      </c>
    </row>
    <row r="10" customFormat="false" ht="15" hidden="false" customHeight="false" outlineLevel="0" collapsed="false">
      <c r="A10" s="0" t="s">
        <v>90</v>
      </c>
    </row>
    <row r="11" customFormat="false" ht="15" hidden="false" customHeight="false" outlineLevel="0" collapsed="false">
      <c r="A11" s="0" t="s">
        <v>91</v>
      </c>
    </row>
    <row r="12" customFormat="false" ht="15" hidden="false" customHeight="false" outlineLevel="0" collapsed="false">
      <c r="A12" s="0" t="s">
        <v>92</v>
      </c>
    </row>
    <row r="13" customFormat="false" ht="15" hidden="false" customHeight="false" outlineLevel="0" collapsed="false">
      <c r="A13" s="0" t="s">
        <v>93</v>
      </c>
    </row>
    <row r="14" customFormat="false" ht="15" hidden="false" customHeight="false" outlineLevel="0" collapsed="false">
      <c r="A14" s="0" t="s">
        <v>94</v>
      </c>
    </row>
    <row r="15" customFormat="false" ht="15" hidden="false" customHeight="false" outlineLevel="0" collapsed="false">
      <c r="A15" s="0" t="s">
        <v>95</v>
      </c>
    </row>
    <row r="16" customFormat="false" ht="15" hidden="false" customHeight="false" outlineLevel="0" collapsed="false">
      <c r="A16" s="0" t="s">
        <v>96</v>
      </c>
    </row>
    <row r="17" customFormat="false" ht="15" hidden="false" customHeight="false" outlineLevel="0" collapsed="false">
      <c r="A17" s="0" t="s">
        <v>97</v>
      </c>
    </row>
    <row r="18" customFormat="false" ht="15" hidden="false" customHeight="false" outlineLevel="0" collapsed="false">
      <c r="A18" s="0" t="s">
        <v>98</v>
      </c>
    </row>
    <row r="19" customFormat="false" ht="15" hidden="false" customHeight="false" outlineLevel="0" collapsed="false">
      <c r="A19" s="0" t="s">
        <v>99</v>
      </c>
    </row>
    <row r="20" customFormat="false" ht="15" hidden="false" customHeight="false" outlineLevel="0" collapsed="false">
      <c r="A20" s="0" t="s">
        <v>100</v>
      </c>
    </row>
    <row r="21" customFormat="false" ht="15" hidden="false" customHeight="false" outlineLevel="0" collapsed="false">
      <c r="A21" s="0" t="s">
        <v>101</v>
      </c>
    </row>
    <row r="22" customFormat="false" ht="15" hidden="false" customHeight="false" outlineLevel="0" collapsed="false">
      <c r="A22" s="0" t="s">
        <v>102</v>
      </c>
    </row>
    <row r="23" customFormat="false" ht="15" hidden="false" customHeight="false" outlineLevel="0" collapsed="false">
      <c r="A23" s="0" t="s">
        <v>103</v>
      </c>
    </row>
    <row r="24" customFormat="false" ht="15" hidden="false" customHeight="false" outlineLevel="0" collapsed="false">
      <c r="A24" s="0" t="s">
        <v>104</v>
      </c>
    </row>
    <row r="25" customFormat="false" ht="15" hidden="false" customHeight="false" outlineLevel="0" collapsed="false">
      <c r="A25" s="0" t="s">
        <v>105</v>
      </c>
    </row>
    <row r="26" customFormat="false" ht="15" hidden="false" customHeight="false" outlineLevel="0" collapsed="false">
      <c r="A26" s="0" t="s">
        <v>106</v>
      </c>
    </row>
    <row r="27" customFormat="false" ht="15" hidden="false" customHeight="false" outlineLevel="0" collapsed="false">
      <c r="A27" s="0" t="s">
        <v>107</v>
      </c>
    </row>
    <row r="28" customFormat="false" ht="15" hidden="false" customHeight="false" outlineLevel="0" collapsed="false">
      <c r="A28" s="0" t="s">
        <v>108</v>
      </c>
    </row>
    <row r="30" customFormat="false" ht="15" hidden="false" customHeight="false" outlineLevel="0" collapsed="false">
      <c r="A30" s="0" t="s">
        <v>109</v>
      </c>
    </row>
    <row r="31" customFormat="false" ht="15" hidden="false" customHeight="false" outlineLevel="0" collapsed="false">
      <c r="A31" s="0" t="s">
        <v>110</v>
      </c>
    </row>
    <row r="32" customFormat="false" ht="15" hidden="false" customHeight="false" outlineLevel="0" collapsed="false">
      <c r="A32" s="0" t="s">
        <v>111</v>
      </c>
    </row>
    <row r="33" customFormat="false" ht="15" hidden="false" customHeight="false" outlineLevel="0" collapsed="false">
      <c r="A33" s="0" t="s">
        <v>112</v>
      </c>
    </row>
    <row r="35" customFormat="false" ht="15" hidden="false" customHeight="false" outlineLevel="0" collapsed="false">
      <c r="A35" s="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2026-03-01T11:42:00Z</dcterms:created>
  <dc:creator>openpyxl</dc:creator>
  <dc:description/>
  <dc:language>en-US</dc:language>
  <cp:lastModifiedBy/>
  <dcterms:modified xsi:type="dcterms:W3CDTF">2026-03-01T11:42:01Z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